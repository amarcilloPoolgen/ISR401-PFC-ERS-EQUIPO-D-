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_Trazabili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<sst xmlns="http://schemas.openxmlformats.org/spreadsheetml/2006/main" count="91" uniqueCount="70">
  <si>
    <t xml:space="preserve">MATRIZ DE TRAZABILIDAD — SGCV-IA</t>
  </si>
  <si>
    <t xml:space="preserve">Stakeholder → RF → CU → Clase/Módulo → Prueba — Paso 3.6, PE4_U4, ISR-401</t>
  </si>
  <si>
    <t xml:space="preserve">Stakeholder (fuente)</t>
  </si>
  <si>
    <t xml:space="preserve">RF</t>
  </si>
  <si>
    <t xml:space="preserve">Caso de Uso (CU)</t>
  </si>
  <si>
    <t xml:space="preserve">Clase / Módulo</t>
  </si>
  <si>
    <t xml:space="preserve">Caso de prueba</t>
  </si>
  <si>
    <t xml:space="preserve">Observación</t>
  </si>
  <si>
    <t xml:space="preserve">Médico veterinario</t>
  </si>
  <si>
    <t xml:space="preserve">RF-01 Registrar historial clínico</t>
  </si>
  <si>
    <t xml:space="preserve">CU-02 Registrar Atención Clínica</t>
  </si>
  <si>
    <t xml:space="preserve">AtencionClinica, HistorialClinico</t>
  </si>
  <si>
    <t xml:space="preserve">PRU-01 Verificar guardado de historial completo</t>
  </si>
  <si>
    <t xml:space="preserve">RF-02 Consultar historial clínico</t>
  </si>
  <si>
    <t xml:space="preserve">CU-03 Revisar Historial Clínico</t>
  </si>
  <si>
    <t xml:space="preserve">HistorialClinico</t>
  </si>
  <si>
    <t xml:space="preserve">PRU-02 Verificar consulta de historial por paciente</t>
  </si>
  <si>
    <t xml:space="preserve">RF-03 Actualizar historial clínico</t>
  </si>
  <si>
    <t xml:space="preserve">PRU-03 Verificar actualización y registro de cambios</t>
  </si>
  <si>
    <t xml:space="preserve">RF-04 Registrar consulta médica</t>
  </si>
  <si>
    <t xml:space="preserve">AtencionClinica</t>
  </si>
  <si>
    <t xml:space="preserve">PRU-04 Verificar registro de diagnóstico y tratamiento</t>
  </si>
  <si>
    <t xml:space="preserve">RF-05 Generar sugerencias IA</t>
  </si>
  <si>
    <t xml:space="preserve">CU-02 Consultar Sugerencia de IA</t>
  </si>
  <si>
    <t xml:space="preserve">ModuloIA, SugerenciaDiagnostica</t>
  </si>
  <si>
    <t xml:space="preserve">PRU-05 Verificar generación de sugerencia y aprobación obligatoria</t>
  </si>
  <si>
    <t xml:space="preserve">RF-06 Mostrar respaldo bibliográfico</t>
  </si>
  <si>
    <t xml:space="preserve">ModuloIA, ReferenciaBibliografica</t>
  </si>
  <si>
    <t xml:space="preserve">PRU-06 Verificar referencia bibliográfica visible por sugerencia</t>
  </si>
  <si>
    <t xml:space="preserve">RF-07 Recomendaciones nutricionales</t>
  </si>
  <si>
    <t xml:space="preserve">CU-02 Registrar Seguimiento Nutricional</t>
  </si>
  <si>
    <t xml:space="preserve">SeguimientoNutricional</t>
  </si>
  <si>
    <t xml:space="preserve">PRU-07 Verificar generación de recomendación dietética</t>
  </si>
  <si>
    <t xml:space="preserve">Personal administrativo</t>
  </si>
  <si>
    <t xml:space="preserve">RF-08 Gestionar citas</t>
  </si>
  <si>
    <t xml:space="preserve">— (sin CU especificado)</t>
  </si>
  <si>
    <t xml:space="preserve">Cita (clase no modelada aún)</t>
  </si>
  <si>
    <t xml:space="preserve">— pendiente</t>
  </si>
  <si>
    <t xml:space="preserve">Requisito huérfano: falta CU y clase en el modelado UML v3.0</t>
  </si>
  <si>
    <t xml:space="preserve">Propietario de la mascota</t>
  </si>
  <si>
    <t xml:space="preserve">RF-09 Enviar recordatorios</t>
  </si>
  <si>
    <t xml:space="preserve">CU-02 Registrar Comunicación</t>
  </si>
  <si>
    <t xml:space="preserve">Comunicacion</t>
  </si>
  <si>
    <t xml:space="preserve">PRU-09 Verificar envío automático 24h antes de la cita</t>
  </si>
  <si>
    <t xml:space="preserve">Propietario o administrador de la clínica</t>
  </si>
  <si>
    <t xml:space="preserve">RF-10 Registrar facturación</t>
  </si>
  <si>
    <t xml:space="preserve">Factura (clase no modelada aún)</t>
  </si>
  <si>
    <t xml:space="preserve">RF-11 Generar reportes</t>
  </si>
  <si>
    <t xml:space="preserve">Reporte (clase no modelada aún)</t>
  </si>
  <si>
    <t xml:space="preserve">RF-12 Registrar medicamentos</t>
  </si>
  <si>
    <t xml:space="preserve">CU-04 Controlar Inventario</t>
  </si>
  <si>
    <t xml:space="preserve">Producto, Medicamento</t>
  </si>
  <si>
    <t xml:space="preserve">PRU-12 Verificar registro de entrada de medicamento</t>
  </si>
  <si>
    <t xml:space="preserve">RF-13 Actualizar stock</t>
  </si>
  <si>
    <t xml:space="preserve">Producto, Inventario</t>
  </si>
  <si>
    <t xml:space="preserve">PRU-13 Verificar actualización de stock y alerta de mínimo</t>
  </si>
  <si>
    <t xml:space="preserve">Equipo de desarrollo</t>
  </si>
  <si>
    <t xml:space="preserve">RF-14 Gestionar usuarios</t>
  </si>
  <si>
    <t xml:space="preserve">CU-05 Gestionar Empleados</t>
  </si>
  <si>
    <t xml:space="preserve">Usuario, Administrador</t>
  </si>
  <si>
    <t xml:space="preserve">PRU-14 Verificar creación y edición de usuarios</t>
  </si>
  <si>
    <t xml:space="preserve">Comité de ética / protección de datos (LOPDP)</t>
  </si>
  <si>
    <t xml:space="preserve">RF-15 Administrar roles y permisos</t>
  </si>
  <si>
    <t xml:space="preserve">Usuario, Permiso</t>
  </si>
  <si>
    <t xml:space="preserve">PRU-15 Verificar restricción de acceso por rol asignado</t>
  </si>
  <si>
    <t xml:space="preserve">Resumen</t>
  </si>
  <si>
    <t xml:space="preserve">Total de RF en la matriz</t>
  </si>
  <si>
    <t xml:space="preserve">RF enlazados a un CU real</t>
  </si>
  <si>
    <t xml:space="preserve">RF huérfanos (sin CU en el modelado UML)</t>
  </si>
  <si>
    <t xml:space="preserve">Nota: los 3 requisitos huérfanos (RF-08, RF-10, RF-11) no reflejan un error de carga en la herramienta CASE, sino una brecha real del modelado UML v3.0 del ERS: el diagrama de casos de uso general y la especificación CU-01 a CU-05 no incluyen módulos de citas, facturación ni reportes gerenciales. Se recomienda al equipo generar CU-06 (Gestionar Citas), CU-07 (Registrar Facturación) y CU-08 (Generar Reportes Gerenciales) en la próxima iteración del modelado, antes de la entrega final del PFC.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</si>
</sst>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1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0"/>
      <color rgb="FFC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5F2D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3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2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/>
    </row>
    <row r="6" customFormat="false" ht="42" hidden="false" customHeight="true" outlineLevel="0" collapsed="false">
      <c r="A6" s="4" t="s">
        <v>8</v>
      </c>
      <c r="B6" s="4" t="s">
        <v>13</v>
      </c>
      <c r="C6" s="4" t="s">
        <v>14</v>
      </c>
      <c r="D6" s="4" t="s">
        <v>15</v>
      </c>
      <c r="E6" s="4" t="s">
        <v>16</v>
      </c>
      <c r="F6" s="4"/>
    </row>
    <row r="7" customFormat="false" ht="42" hidden="false" customHeight="true" outlineLevel="0" collapsed="false">
      <c r="A7" s="4" t="s">
        <v>8</v>
      </c>
      <c r="B7" s="4" t="s">
        <v>17</v>
      </c>
      <c r="C7" s="4" t="s">
        <v>10</v>
      </c>
      <c r="D7" s="4" t="s">
        <v>15</v>
      </c>
      <c r="E7" s="4" t="s">
        <v>18</v>
      </c>
      <c r="F7" s="4"/>
    </row>
    <row r="8" customFormat="false" ht="42" hidden="false" customHeight="true" outlineLevel="0" collapsed="false">
      <c r="A8" s="4" t="s">
        <v>8</v>
      </c>
      <c r="B8" s="4" t="s">
        <v>19</v>
      </c>
      <c r="C8" s="4" t="s">
        <v>10</v>
      </c>
      <c r="D8" s="4" t="s">
        <v>20</v>
      </c>
      <c r="E8" s="4" t="s">
        <v>21</v>
      </c>
      <c r="F8" s="4"/>
    </row>
    <row r="9" customFormat="false" ht="42" hidden="false" customHeight="true" outlineLevel="0" collapsed="false">
      <c r="A9" s="4" t="s">
        <v>8</v>
      </c>
      <c r="B9" s="4" t="s">
        <v>22</v>
      </c>
      <c r="C9" s="4" t="s">
        <v>23</v>
      </c>
      <c r="D9" s="4" t="s">
        <v>24</v>
      </c>
      <c r="E9" s="4" t="s">
        <v>25</v>
      </c>
      <c r="F9" s="4"/>
    </row>
    <row r="10" customFormat="false" ht="42" hidden="false" customHeight="true" outlineLevel="0" collapsed="false">
      <c r="A10" s="4" t="s">
        <v>8</v>
      </c>
      <c r="B10" s="4" t="s">
        <v>26</v>
      </c>
      <c r="C10" s="4" t="s">
        <v>23</v>
      </c>
      <c r="D10" s="4" t="s">
        <v>27</v>
      </c>
      <c r="E10" s="4" t="s">
        <v>28</v>
      </c>
      <c r="F10" s="4"/>
    </row>
    <row r="11" customFormat="false" ht="42" hidden="false" customHeight="true" outlineLevel="0" collapsed="false">
      <c r="A11" s="4" t="s">
        <v>8</v>
      </c>
      <c r="B11" s="4" t="s">
        <v>29</v>
      </c>
      <c r="C11" s="4" t="s">
        <v>30</v>
      </c>
      <c r="D11" s="4" t="s">
        <v>31</v>
      </c>
      <c r="E11" s="4" t="s">
        <v>32</v>
      </c>
      <c r="F11" s="4"/>
    </row>
    <row r="12" customFormat="false" ht="42" hidden="false" customHeight="true" outlineLevel="0" collapsed="false">
      <c r="A12" s="4" t="s">
        <v>33</v>
      </c>
      <c r="B12" s="4" t="s">
        <v>34</v>
      </c>
      <c r="C12" s="4" t="s">
        <v>35</v>
      </c>
      <c r="D12" s="4" t="s">
        <v>36</v>
      </c>
      <c r="E12" s="4" t="s">
        <v>37</v>
      </c>
      <c r="F12" s="5" t="s">
        <v>38</v>
      </c>
    </row>
    <row r="13" customFormat="false" ht="42" hidden="false" customHeight="true" outlineLevel="0" collapsed="false">
      <c r="A13" s="4" t="s">
        <v>39</v>
      </c>
      <c r="B13" s="4" t="s">
        <v>40</v>
      </c>
      <c r="C13" s="4" t="s">
        <v>41</v>
      </c>
      <c r="D13" s="4" t="s">
        <v>42</v>
      </c>
      <c r="E13" s="4" t="s">
        <v>43</v>
      </c>
      <c r="F13" s="4"/>
    </row>
    <row r="14" customFormat="false" ht="42" hidden="false" customHeight="true" outlineLevel="0" collapsed="false">
      <c r="A14" s="4" t="s">
        <v>44</v>
      </c>
      <c r="B14" s="4" t="s">
        <v>45</v>
      </c>
      <c r="C14" s="4" t="s">
        <v>35</v>
      </c>
      <c r="D14" s="4" t="s">
        <v>46</v>
      </c>
      <c r="E14" s="4" t="s">
        <v>37</v>
      </c>
      <c r="F14" s="5" t="s">
        <v>38</v>
      </c>
    </row>
    <row r="15" customFormat="false" ht="42" hidden="false" customHeight="true" outlineLevel="0" collapsed="false">
      <c r="A15" s="4" t="s">
        <v>44</v>
      </c>
      <c r="B15" s="4" t="s">
        <v>47</v>
      </c>
      <c r="C15" s="4" t="s">
        <v>35</v>
      </c>
      <c r="D15" s="4" t="s">
        <v>48</v>
      </c>
      <c r="E15" s="4" t="s">
        <v>37</v>
      </c>
      <c r="F15" s="5" t="s">
        <v>38</v>
      </c>
    </row>
    <row r="16" customFormat="false" ht="42" hidden="false" customHeight="true" outlineLevel="0" collapsed="false">
      <c r="A16" s="4" t="s">
        <v>33</v>
      </c>
      <c r="B16" s="4" t="s">
        <v>49</v>
      </c>
      <c r="C16" s="4" t="s">
        <v>50</v>
      </c>
      <c r="D16" s="4" t="s">
        <v>51</v>
      </c>
      <c r="E16" s="4" t="s">
        <v>52</v>
      </c>
      <c r="F16" s="4"/>
    </row>
    <row r="17" customFormat="false" ht="42" hidden="false" customHeight="true" outlineLevel="0" collapsed="false">
      <c r="A17" s="4" t="s">
        <v>33</v>
      </c>
      <c r="B17" s="4" t="s">
        <v>53</v>
      </c>
      <c r="C17" s="4" t="s">
        <v>50</v>
      </c>
      <c r="D17" s="4" t="s">
        <v>54</v>
      </c>
      <c r="E17" s="4" t="s">
        <v>55</v>
      </c>
      <c r="F17" s="4"/>
    </row>
    <row r="18" customFormat="false" ht="42" hidden="false" customHeight="true" outlineLevel="0" collapsed="false">
      <c r="A18" s="4" t="s">
        <v>56</v>
      </c>
      <c r="B18" s="4" t="s">
        <v>57</v>
      </c>
      <c r="C18" s="4" t="s">
        <v>58</v>
      </c>
      <c r="D18" s="4" t="s">
        <v>59</v>
      </c>
      <c r="E18" s="4" t="s">
        <v>60</v>
      </c>
      <c r="F18" s="4"/>
    </row>
    <row r="19" customFormat="false" ht="42" hidden="false" customHeight="true" outlineLevel="0" collapsed="false">
      <c r="A19" s="4" t="s">
        <v>61</v>
      </c>
      <c r="B19" s="4" t="s">
        <v>62</v>
      </c>
      <c r="C19" s="4" t="s">
        <v>58</v>
      </c>
      <c r="D19" s="4" t="s">
        <v>63</v>
      </c>
      <c r="E19" s="4" t="s">
        <v>64</v>
      </c>
      <c r="F19" s="4"/>
    </row>
    <row r="21" customFormat="false" ht="15" hidden="false" customHeight="false" outlineLevel="0" collapsed="false">
      <c r="A21" s="6" t="s">
        <v>65</v>
      </c>
    </row>
    <row r="22" customFormat="false" ht="15" hidden="false" customHeight="false" outlineLevel="0" collapsed="false">
      <c r="A22" s="7" t="s">
        <v>66</v>
      </c>
      <c r="B22" s="8" t="n">
        <f aca="false">COUNTA(B5:B19)</f>
        <v>15</v>
      </c>
    </row>
    <row r="23" customFormat="false" ht="15" hidden="false" customHeight="false" outlineLevel="0" collapsed="false">
      <c r="A23" s="7" t="s">
        <v>67</v>
      </c>
      <c r="B23" s="8" t="n">
        <f aca="false">COUNTIF(C5:C19,"CU-*")</f>
        <v>12</v>
      </c>
    </row>
    <row r="24" customFormat="false" ht="15" hidden="false" customHeight="false" outlineLevel="0" collapsed="false">
      <c r="A24" s="7" t="s">
        <v>68</v>
      </c>
      <c r="B24" s="9" t="n">
        <f aca="false">COUNTIF(F5:F19,"Requisito huérfano*")</f>
        <v>3</v>
      </c>
    </row>
    <row r="26" customFormat="false" ht="15" hidden="false" customHeight="true" outlineLevel="0" collapsed="false">
      <c r="A26" s="10" t="s">
        <v>69</v>
      </c>
      <c r="B26" s="10"/>
      <c r="C26" s="10"/>
      <c r="D26" s="10"/>
      <c r="E26" s="10"/>
      <c r="F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</row>
  </sheetData>
  <mergeCells count="3">
    <mergeCell ref="A1:F1"/>
    <mergeCell ref="A2:F2"/>
    <mergeCell ref="A26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2026-08-06T03:31:36Z</dcterms:created>
  <dc:creator>openpyxl</dc:creator>
  <dc:description/>
  <dc:language>en-US</dc:language>
  <cp:lastModifiedBy/>
  <dcterms:modified xsi:type="dcterms:W3CDTF">2026-08-06T03:31:36Z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