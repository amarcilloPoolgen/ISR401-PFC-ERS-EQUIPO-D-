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CUARTO SEMESTRE\ING REQUERIMIENTO\EXP IV\prac exp IV\"/>
    </mc:Choice>
  </mc:AlternateContent>
  <xr:revisionPtr revIDLastSave="0" documentId="13_ncr:1_{679B6446-C2DB-4C59-92CF-8E07173268B8}" xr6:coauthVersionLast="47" xr6:coauthVersionMax="47" xr10:uidLastSave="{00000000-0000-0000-0000-000000000000}"/>
  <bookViews>
    <workbookView xWindow="-120" yWindow="-120" windowWidth="24240" windowHeight="13020" tabRatio="500" xr2:uid="{00000000-000D-0000-FFFF-FFFF00000000}"/>
  </bookViews>
  <sheets>
    <sheet name="Registro_Defectos" sheetId="1" r:id="rId1"/>
    <sheet name="Graficos_Metricas" sheetId="2" r:id="rId2"/>
    <sheet name="Correcciones_Aplicada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1" l="1"/>
  <c r="B31" i="1"/>
  <c r="B30" i="1"/>
  <c r="B29" i="1"/>
  <c r="B34" i="1" s="1"/>
</calcChain>
</file>

<file path=xl/sharedStrings.xml><?xml version="1.0" encoding="utf-8"?>
<sst xmlns="http://schemas.openxmlformats.org/spreadsheetml/2006/main" count="215" uniqueCount="144">
  <si>
    <t>ANEXO B — REGISTRO DE DEFECTOS</t>
  </si>
  <si>
    <t>Práctica Experimental PE4_U4 — Inspección Fagan — Sistema SGCV-IA — ISR-401</t>
  </si>
  <si>
    <t>Moderador:</t>
  </si>
  <si>
    <t>Marcillo Ponce Alberto Jeanpool</t>
  </si>
  <si>
    <t>Fecha de la reunión:</t>
  </si>
  <si>
    <t>05/08/2026</t>
  </si>
  <si>
    <t>Alcance inspeccionado:</t>
  </si>
  <si>
    <t>ERS SGCV-IA -- Secciones 3.2 (RF-01 a RF-25) y 3.3 (RNF-01 a RNF-15)</t>
  </si>
  <si>
    <t>N.º</t>
  </si>
  <si>
    <t>Sección</t>
  </si>
  <si>
    <t>Descripción del defecto</t>
  </si>
  <si>
    <t>Tipo</t>
  </si>
  <si>
    <t>Severidad</t>
  </si>
  <si>
    <t>Requisito afectado</t>
  </si>
  <si>
    <t>Detectado por</t>
  </si>
  <si>
    <t>Corrección (antes / después)</t>
  </si>
  <si>
    <t>D-01</t>
  </si>
  <si>
    <t>3.3 RNF</t>
  </si>
  <si>
    <t>RNF-11 a RNF-15 figuran como “Elaboración propia”, sin RC asociado; rompe la trazabilidad hacia atrás exigida hacia un stakeholder u origen documental.</t>
  </si>
  <si>
    <t>Trazabilidad</t>
  </si>
  <si>
    <t>Mayor</t>
  </si>
  <si>
    <t>RNF-11, RNF-12, RNF-13, RNF-14, RNF-15</t>
  </si>
  <si>
    <t>Herrera Ramos Thais Melanie</t>
  </si>
  <si>
    <t>Aplicada. Ver Sección 5 (Correcciones_Aplicadas) — RNF-11 a RNF-15 enlazados a RC de stakeholder; incorporado a ERS_v1.1.</t>
  </si>
  <si>
    <t>D-02</t>
  </si>
  <si>
    <t>3.2 RF</t>
  </si>
  <si>
    <t>RF-10 y RF-12 dependen de WhatsApp Business API (proveedor externo de mensajería); el ERS no documenta este riesgo de dependencia, a diferencia de RNF-10 que sí trata la dependencia del LLM.</t>
  </si>
  <si>
    <t>Factibilidad</t>
  </si>
  <si>
    <t>RF-10, RF-12</t>
  </si>
  <si>
    <t>Aplicada. Ver Sección 5 (Correcciones_Aplicadas) — RF-10 y RF-12 con mecanismo de reintento y notificación; incorporado a ERS_v1.1.</t>
  </si>
  <si>
    <t>D-03</t>
  </si>
  <si>
    <t>3.2 RF / 3.3 RNF</t>
  </si>
  <si>
    <t>RF-01 exige “la misma funcionalidad esencial” (100%) en ambas plataformas; RNF-08 la cuantifica en ≥95% de paridad, contradiciendo al RF que respalda.</t>
  </si>
  <si>
    <t>Consistencia</t>
  </si>
  <si>
    <t>RF-01, RNF-08</t>
  </si>
  <si>
    <t>Aplicada. Ver Sección 5 (Correcciones_Aplicadas) — RF-01 alineado a la métrica de RNF-08 (paridad ≥95%); incorporado a ERS_v1.1.</t>
  </si>
  <si>
    <t>D-04</t>
  </si>
  <si>
    <t>El criterio de aceptación de RF-25 menciona un selector de período (día/semana/mes) que no aparece en la descripción del requisito.</t>
  </si>
  <si>
    <t>Completitud / Consistencia</t>
  </si>
  <si>
    <t>Menor</t>
  </si>
  <si>
    <t>RF-25</t>
  </si>
  <si>
    <t>Arboleda Yanza Francisco Javier</t>
  </si>
  <si>
    <t>No corregido (Menor). Discrepancia de redacción entre RF-25 y su criterio de aceptación; se prioriza para la siguiente revisión del ERS sin bloquear la línea base v1.1.</t>
  </si>
  <si>
    <t>D-05</t>
  </si>
  <si>
    <t>RF-17 y RF-19 exigen aprobación explícita del veterinario para sugerencias de IA de diagnóstico; RF-14 (recomendaciones nutricionales, también automáticas) no exige el mismo control.</t>
  </si>
  <si>
    <t>RF-14, RF-17, RF-19</t>
  </si>
  <si>
    <t>Aplicada. Ver Sección 5 (Correcciones_Aplicadas) — RF-14 exige aprobación explícita del veterinario; incorporado a ERS_v1.1.</t>
  </si>
  <si>
    <t>D-06</t>
  </si>
  <si>
    <t>“Conforme se aproxime dicha fecha” no cuantifica los umbrales en el propio texto de RF-05; solo remite implícitamente a RNF-03.</t>
  </si>
  <si>
    <t>Ambigüedad</t>
  </si>
  <si>
    <t>RF-05</t>
  </si>
  <si>
    <t>No corregido (Menor). RF-05 ya remite implícitamente a RNF-03; se mantiene la redacción actual y se refuerza la referencia cruzada en la próxima iteración del ERS.</t>
  </si>
  <si>
    <t>D-07</t>
  </si>
  <si>
    <t>RF-04 no aclara si los diez campos listados en el historial clínico son todos obligatorios o solo un subconjunto.</t>
  </si>
  <si>
    <t>RF-04</t>
  </si>
  <si>
    <t>No corregido (Menor). El equipo determina que los diez campos del historial clínico son obligatorios por defecto; se documentará explícitamente en la siguiente actualización menor del ERS.</t>
  </si>
  <si>
    <t>D-08</t>
  </si>
  <si>
    <t>El criterio “&lt; 5 segundos” de RF-16 no define un tamaño de historial de referencia, a diferencia de RNF-01 que sí acota “hasta 500 pacientes”.</t>
  </si>
  <si>
    <t>Verificabilidad</t>
  </si>
  <si>
    <t>RF-16</t>
  </si>
  <si>
    <t>No corregido (Menor). El umbral de 500 pacientes de RNF-01 se adopta como referencia implícita para RF-16; se formalizará la cita cruzada en la próxima revisión.</t>
  </si>
  <si>
    <t>D-09</t>
  </si>
  <si>
    <t>RF-17 no cita explícitamente a RNF-09 (que agrega el criterio de tiempo ≤5 s), rompiendo el patrón de cruce que sí siguen RF-05, RF-08, RF-22 y RF-23.</t>
  </si>
  <si>
    <t>RF-17, RNF-09</t>
  </si>
  <si>
    <t>No corregido (Menor). Queda pendiente estandarizar el patrón de cita cruzada RF↔RNF en toda la sección 3.2, fuera del alcance de esta práctica.</t>
  </si>
  <si>
    <t>D-10</t>
  </si>
  <si>
    <t>RF-21 no especifica qué ocurre con los módulos de IA (RF-17–19) cuando el sistema opera sin conexión a internet.</t>
  </si>
  <si>
    <t>Completitud</t>
  </si>
  <si>
    <t>RF-21</t>
  </si>
  <si>
    <t>Aplicada. Ver Sección 5 (Correcciones_Aplicadas) — RF-21 define el comportamiento de los módulos de IA sin conexión; incorporado a ERS_v1.1.</t>
  </si>
  <si>
    <t>D-11</t>
  </si>
  <si>
    <t>RF-09 admite “llamada, WhatsApp, mensaje” como canales; RF-10 restringe el envío de exámenes solo a WhatsApp sin justificar la diferencia.</t>
  </si>
  <si>
    <t>RF-09, RF-10</t>
  </si>
  <si>
    <t>No corregido (Menor). La restricción de RF-10 a WhatsApp es intencional por ser el canal preferido para adjuntar archivos; se documentará la justificación en la siguiente revisión.</t>
  </si>
  <si>
    <t>D-12</t>
  </si>
  <si>
    <t>RNF-11 fija 20 usuarios concurrentes sin que ningún RF dimensione el personal esperado de la clínica.</t>
  </si>
  <si>
    <t>RNF-11</t>
  </si>
  <si>
    <t>No corregido (Menor). El equipo considera razonable el límite de 20 usuarios concurrentes para el tamaño típico de la clínica; se dimensionará formalmente en un RNF de contexto en la siguiente entrega.</t>
  </si>
  <si>
    <t>D-13</t>
  </si>
  <si>
    <t>RF-06 no indica quién configura el “umbral mínimo configurable” ni el rango permitido.</t>
  </si>
  <si>
    <t>RF-06</t>
  </si>
  <si>
    <t>No corregido (Menor). La configuración del umbral se asigna por defecto al rol Administrador; se formalizará explícitamente en la siguiente actualización menor del ERS.</t>
  </si>
  <si>
    <t>D-14</t>
  </si>
  <si>
    <t>RF-15 no indica qué ocurre si el recordatorio de indicaciones médicas no se atiende (¿reprogramación?, ¿escalamiento?).</t>
  </si>
  <si>
    <t>RF-15</t>
  </si>
  <si>
    <t>No corregido (Menor). Se define informalmente que el recordatorio no atendido se reintenta una vez a las 24 horas; se formalizará como criterio de aceptación en la siguiente iteración.</t>
  </si>
  <si>
    <t>D-15</t>
  </si>
  <si>
    <t>RF-22 y RF-24 regulan ambos el control de acceso por rol; RF-24 remite a RF-22 pero no queda claro si son un mismo requisito fragmentado.</t>
  </si>
  <si>
    <t>RF-22, RF-24</t>
  </si>
  <si>
    <t>No corregido (Menor). El equipo confirma que RF-22 y RF-24 son complementarios (control de acceso general y por módulo específico) y no redundantes; se aclarará la relación en la próxima revisión.</t>
  </si>
  <si>
    <t>D-16</t>
  </si>
  <si>
    <t>RNF-12 no define quién audita el cumplimiento de cifrado TLS 1.2/AES-256 ni con qué periodicidad.</t>
  </si>
  <si>
    <t>RNF-12</t>
  </si>
  <si>
    <t>No corregido (Menor). La auditoría de cifrado se delega al proveedor de infraestructura cloud; se documentará el responsable y la periodicidad en la siguiente actualización de RNF-12.</t>
  </si>
  <si>
    <t>D-17</t>
  </si>
  <si>
    <t>RF-08 no cita a RNF-02 en su propia descripción (solo aparece en el criterio de aceptación), a diferencia de otros pares RF/RNF que sí se citan mutuamente.</t>
  </si>
  <si>
    <t>RF-08, RNF-02</t>
  </si>
  <si>
    <t>No corregido (Menor). Queda pendiente estandarizar el patrón de cita cruzada RF↔RNF, igual que D-09, fuera del alcance de esta práctica.</t>
  </si>
  <si>
    <t>D-18</t>
  </si>
  <si>
    <t>RF-14 depende del dato de peso/condición corporal (RF-13) pero no define qué ocurre si aún no existe historial suficiente (primera visita).</t>
  </si>
  <si>
    <t>RF-13, RF-14</t>
  </si>
  <si>
    <t>Aplicada. Ver Sección 5 (Correcciones_Aplicadas) — RF-14 contempla el caso de primera visita sin historial; incorporado a ERS_v1.1.</t>
  </si>
  <si>
    <t>MÉTRICAS DE INSPECCIÓN</t>
  </si>
  <si>
    <t>Total de defectos consolidados</t>
  </si>
  <si>
    <t>Defectos críticos</t>
  </si>
  <si>
    <t>Defectos mayores</t>
  </si>
  <si>
    <t>Defectos menores</t>
  </si>
  <si>
    <t>Número de páginas efectivas inspeccionadas</t>
  </si>
  <si>
    <t>Densidad de defectos (defectos/página)</t>
  </si>
  <si>
    <t>Interpretación (para sección 4.4 del informe):</t>
  </si>
  <si>
    <t>Con una densidad de 1.4 defectos por página sobre un alcance de 13 páginas del ERS (RF-01 a RF-25 y RNF-01 a RNF-15), el ERS del SGCV-IA presenta una densidad de defectos moderada: los requisitos individuales están mayormente bien redactados en aislamiento, pero persistían defectos sistemáticos de consistencia y trazabilidad cruzada entre RF y RNF, concentrados en el bloque de requisitos no funcionales de elaboración propia (RNF-11 a RNF-15). Tras la reunión de inspección del 05/08/2026, el equipo confirmó los 18 defectos, corrigió los 6 defectos Mayor y justificó los 12 defectos Menor, dejando el ERS listo para avanzar a la gestión del cambio (Paso 2) y a la línea base v1.1.</t>
  </si>
  <si>
    <t>GRÁFICOS DE MÉTRICAS DE INSPECCIÓN — ERS SGCV-IA</t>
  </si>
  <si>
    <t>Interpretación: la distribución por tipo muestra que los defectos de consistencia (5) y completitud (4) concentran la mayoría de los hallazgos, lo que sugiere que el ERS necesita una revisión cruzada entre requisitos más que correcciones de redacción aisladas. La distribución por severidad confirma que ningún defecto detectado es crítico, pero 6 de los 18 (33%) son mayores y exigen corrección obligatoria antes de la línea base, conforme al Paso 1.5 de la guía.</t>
  </si>
  <si>
    <t>SECCIÓN 5 — CORRECCIONES APLICADAS (defectos Mayor)</t>
  </si>
  <si>
    <t>Paso 1.5 — 100% de los defectos críticos y mayores corregidos, con texto antes/después</t>
  </si>
  <si>
    <t>Defecto</t>
  </si>
  <si>
    <t>Requisito</t>
  </si>
  <si>
    <t>Texto ANTES</t>
  </si>
  <si>
    <t>Texto DESPUÉS (propuesto)</t>
  </si>
  <si>
    <t>Justificación de la corrección</t>
  </si>
  <si>
    <t>Estado</t>
  </si>
  <si>
    <t>RNF-11 a RNF-15</t>
  </si>
  <si>
    <t>Columna “RC relacionado” = “Elaboración propia” (sin vínculo a un RC de origen).</t>
  </si>
  <si>
    <t>RNF-11 → RC vinculado a Equipo de desarrollo (restricción técnica de servidor); RNF-12 → RC vinculado a Comité de ética / protección de datos (LOPDP); RNF-13 → RC vinculado a Propietario/administrador de la clínica (continuidad del negocio); RNF-14 → RC vinculado a Equipo de desarrollo (calidad de despliegue); RNF-15 → RC vinculado a Personal administrativo y Médico veterinario (satisfacción de uso).</t>
  </si>
  <si>
    <t>Cada RNF debe trazar hacia atrás a un stakeholder u origen documental real del mapa de stakeholders del PFC, conforme al criterio C4/trazabilidad de la guía.</t>
  </si>
  <si>
    <t>Aplicada</t>
  </si>
  <si>
    <t>“El sistema debe permitir adjuntar y enviar resultados de exámenes directamente por WhatsApp desde la plataforma.” (RF-10)</t>
  </si>
  <si>
    <t>“El sistema debe permitir adjuntar y enviar resultados de exámenes directamente por WhatsApp desde la plataforma. Ante la indisponibilidad del proveedor de mensajería (WhatsApp Business API), el sistema debe reintentar el envío y notificar al personal administrativo del fallo, conforme al riesgo identificado para el stakeholder Proveedor del servicio de mensajería.”</t>
  </si>
  <si>
    <t>El ERS no documentaba el riesgo de dependencia de un proveedor externo de mensajería, pese a que el mapa de stakeholders ya lo identifica.</t>
  </si>
  <si>
    <t>RF-01 / RNF-08</t>
  </si>
  <si>
    <t>RF-01: “...manteniendo la misma funcionalidad esencial en ambos entornos.” / RNF-08: “...con paridad de funciones ≥ 95% entre plataformas.”</t>
  </si>
  <si>
    <t>RF-01 (corregido): “...manteniendo una paridad de funcionalidad esencial de al menos 95% entre ambos entornos, conforme a RNF-08.”</t>
  </si>
  <si>
    <t>El RF y su RNF asociado debían usar la misma métrica; “la misma funcionalidad” (100%) contradecía el 95% cuantificado en RNF-08.</t>
  </si>
  <si>
    <t>RF-14</t>
  </si>
  <si>
    <t>“El sistema debe generar recomendaciones de alimentación a partir de la raza, edad, peso y condición de salud del animal, como apoyo al juicio del veterinario.”</t>
  </si>
  <si>
    <t>“El sistema debe generar recomendaciones de alimentación a partir de la raza, edad, peso y condición de salud del animal, sin que ninguna recomendación pueda aplicarse sin revisión explícita del veterinario, como apoyo a su juicio clínico.”</t>
  </si>
  <si>
    <t>Alinea el control de las recomendaciones nutricionales automáticas con el mismo estándar de aprobación exigido a las sugerencias diagnósticas de IA (RF-17, RF-19).</t>
  </si>
  <si>
    <t>“El sistema debe permitir el registro y la consulta de historiales clínicos de manera local sin conexión a internet, sincronizando al restablecerse la conexión.”</t>
  </si>
  <si>
    <t>“...sin conexión a internet, sincronizando al restablecerse la conexión. Los módulos dependientes de IA (RF-17–RF-19) quedan deshabilitados durante la operación sin conexión y se reactivan automáticamente al restablecerse la conectividad, sin afectar el registro y consulta de historiales clínicos.”</t>
  </si>
  <si>
    <t>El requisito no definía el comportamiento de los módulos de IA durante la operación offline, dejando un vacío funcional.</t>
  </si>
  <si>
    <t>RF-14 / RF-13</t>
  </si>
  <si>
    <t>“La recomendación se actualiza automáticamente al registrarse un nuevo dato de peso o condición corporal (RF-13).”</t>
  </si>
  <si>
    <t>“...al registrarse un nuevo dato de peso o condición corporal (RF-13). En la primera visita, cuando aún no exista historial suficiente, el sistema debe notificar la ausencia de datos y omitir la generación de la recomendación hasta contar con al menos un registro histórico.”</t>
  </si>
  <si>
    <t>El criterio de aceptación original no contemplaba el caso de un paciente sin historial previo (primera 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</si>
</sst>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1"/>
    </font>
    <font>
      <b/>
      <sz val="14"/>
      <name val="Times New Roman"/>
      <charset val="1"/>
    </font>
    <font>
      <i/>
      <sz val="11"/>
      <name val="Times New Roman"/>
      <charset val="1"/>
    </font>
    <font>
      <b/>
      <sz val="11"/>
      <name val="Times New Roman"/>
      <charset val="1"/>
    </font>
    <font>
      <sz val="11"/>
      <name val="Times New Roman"/>
      <charset val="1"/>
    </font>
    <font>
      <b/>
      <sz val="11"/>
      <color rgb="FFFFFFFF"/>
      <name val="Times New Roman"/>
      <charset val="1"/>
    </font>
    <font>
      <sz val="10"/>
      <name val="Times New Roman"/>
      <charset val="1"/>
    </font>
    <font>
      <b/>
      <sz val="10"/>
      <color rgb="FF9C0006"/>
      <name val="Times New Roman"/>
      <charset val="1"/>
    </font>
    <font>
      <b/>
      <sz val="12"/>
      <name val="Times New Roman"/>
      <charset val="1"/>
    </font>
    <font>
      <b/>
      <sz val="10"/>
      <name val="Times New Roman"/>
      <charset val="1"/>
    </font>
    <font>
      <b/>
      <sz val="10"/>
      <color rgb="FF0000FF"/>
      <name val="Times New Roman"/>
      <charset val="1"/>
    </font>
    <font>
      <i/>
      <sz val="9"/>
      <name val="Times New Roman"/>
      <charset val="1"/>
    </font>
    <font>
      <i/>
      <sz val="10"/>
      <name val="Times New Roman"/>
      <charset val="1"/>
    </font>
    <font>
      <b/>
      <sz val="13"/>
      <name val="Times New Roman"/>
      <charset val="1"/>
    </font>
    <font>
      <b/>
      <sz val="10"/>
      <color rgb="FFFFFFFF"/>
      <name val="Times New Roman"/>
      <charset val="1"/>
    </font>
    <font>
      <sz val="9"/>
      <name val="Times New Roman"/>
      <charset val="1"/>
    </font>
  </fonts>
  <fills count="3">
    <fill>
      <patternFill patternType="none"/>
    </fill>
    <fill>
      <patternFill patternType="gray125"/>
    </fill>
    <fill>
      <patternFill patternType="solid">
        <fgColor rgb="FF2C5F2D"/>
        <bgColor rgb="FF3333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1" fillId="0" borderId="0" xfId="0" applyFont="1" applyAlignment="1">
      <alignment vertical="top" wrapText="1"/>
    </xf>
    <xf numFmtId="0" fontId="12" fillId="0" borderId="0" xfId="0" applyFont="1"/>
    <xf numFmtId="0" fontId="13" fillId="0" borderId="0" xfId="0" applyFont="1"/>
    <xf numFmtId="0" fontId="12" fillId="0" borderId="0" xfId="0" applyFont="1" applyAlignment="1">
      <alignment wrapText="1"/>
    </xf>
    <xf numFmtId="0" fontId="12" fillId="0" borderId="0" xfId="0" applyFont="1" applyAlignment="1">
      <alignment vertical="top" wrapText="1"/>
    </xf>
    <xf numFmtId="0" fontId="11" fillId="0" borderId="0" xfId="0" applyFont="1" applyAlignment="1">
      <alignment wrapText="1"/>
    </xf>
    <xf numFmtId="0" fontId="4"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4" fillId="0" borderId="0" xfId="0" applyFont="1"/>
    <xf numFmtId="0" fontId="5" fillId="2" borderId="0" xfId="0" applyFont="1" applyFill="1" applyAlignment="1">
      <alignment horizontal="center" vertical="center" wrapText="1"/>
    </xf>
    <xf numFmtId="0" fontId="6" fillId="0" borderId="1" xfId="0" applyFont="1" applyBorder="1" applyAlignment="1">
      <alignment horizontal="left" vertical="top" wrapText="1"/>
    </xf>
    <xf numFmtId="0" fontId="7" fillId="0" borderId="1" xfId="0" applyFont="1" applyBorder="1" applyAlignment="1">
      <alignment horizontal="center" vertical="top"/>
    </xf>
    <xf numFmtId="0" fontId="6" fillId="0" borderId="1" xfId="0" applyFont="1" applyBorder="1" applyAlignment="1">
      <alignment horizontal="center" vertical="top"/>
    </xf>
    <xf numFmtId="0" fontId="8" fillId="0" borderId="0" xfId="0" applyFont="1"/>
    <xf numFmtId="0" fontId="6" fillId="0" borderId="0" xfId="0" applyFont="1"/>
    <xf numFmtId="0" fontId="9" fillId="0" borderId="0" xfId="0" applyFont="1"/>
    <xf numFmtId="0" fontId="10" fillId="0" borderId="0" xfId="0" applyFont="1"/>
    <xf numFmtId="164" fontId="9" fillId="0" borderId="0" xfId="0" applyNumberFormat="1" applyFont="1"/>
    <xf numFmtId="0" fontId="13" fillId="0" borderId="0" xfId="0" applyFont="1"/>
    <xf numFmtId="0" fontId="14" fillId="2" borderId="0" xfId="0" applyFont="1" applyFill="1" applyAlignment="1">
      <alignment horizontal="center" vertical="center" wrapText="1"/>
    </xf>
    <xf numFmtId="0" fontId="1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5F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362160</xdr:colOff>
      <xdr:row>18</xdr:row>
      <xdr:rowOff>142560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399960"/>
          <a:ext cx="4571640" cy="3190680"/>
        </a:xfrm>
        <a:prstGeom prst="rect">
          <a:avLst/>
        </a:prstGeom>
        <a:ln w="0">
          <a:noFill/>
        </a:ln>
      </xdr:spPr>
    </xdr:pic>
    <xdr:clientData/>
  </xdr:twoCellAnchor>
  <xdr:twoCellAnchor editAs="oneCell">
    <xdr:from>
      <xdr:col>0</xdr:col>
      <xdr:colOff>0</xdr:colOff>
      <xdr:row>21</xdr:row>
      <xdr:rowOff>0</xdr:rowOff>
    </xdr:from>
    <xdr:to>
      <xdr:col>5</xdr:col>
      <xdr:colOff>435600</xdr:colOff>
      <xdr:row>36</xdr:row>
      <xdr:rowOff>190080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0" y="4019400"/>
          <a:ext cx="4000320" cy="3047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1"/>
  <sheetViews>
    <sheetView tabSelected="1" topLeftCell="A24" zoomScaleNormal="100" workbookViewId="0">
      <selection activeCell="C45" sqref="C45"/>
    </sheetView>
  </sheetViews>
  <sheetFormatPr baseColWidth="10" defaultColWidth="8.7109375" defaultRowHeight="15" x14ac:dyDescent="0.25"/>
  <cols>
    <col min="1" max="1" width="6" customWidth="1"/>
    <col min="2" max="2" width="12" customWidth="1"/>
    <col min="3" max="3" width="46" customWidth="1"/>
    <col min="4" max="4" width="16" customWidth="1"/>
    <col min="5" max="5" width="11" customWidth="1"/>
    <col min="6" max="6" width="20" customWidth="1"/>
    <col min="7" max="7" width="22" customWidth="1"/>
    <col min="8" max="8" width="24" customWidth="1"/>
  </cols>
  <sheetData>
    <row r="1" spans="1:8" ht="17.25" customHeight="1" x14ac:dyDescent="0.3">
      <c r="A1" s="9" t="s">
        <v>0</v>
      </c>
      <c r="B1" s="9"/>
      <c r="C1" s="9"/>
      <c r="D1" s="9"/>
      <c r="E1" s="9"/>
      <c r="F1" s="9"/>
      <c r="G1" s="9"/>
      <c r="H1" s="9"/>
    </row>
    <row r="2" spans="1:8" ht="15" customHeight="1" x14ac:dyDescent="0.25">
      <c r="A2" s="8" t="s">
        <v>1</v>
      </c>
      <c r="B2" s="8"/>
      <c r="C2" s="8"/>
      <c r="D2" s="8"/>
      <c r="E2" s="8"/>
      <c r="F2" s="8"/>
      <c r="G2" s="8"/>
      <c r="H2" s="8"/>
    </row>
    <row r="4" spans="1:8" ht="15" customHeight="1" x14ac:dyDescent="0.25">
      <c r="A4" s="10" t="s">
        <v>2</v>
      </c>
      <c r="B4" s="11" t="s">
        <v>3</v>
      </c>
      <c r="D4" s="10" t="s">
        <v>4</v>
      </c>
      <c r="E4" s="11" t="s">
        <v>5</v>
      </c>
    </row>
    <row r="5" spans="1:8" ht="15" customHeight="1" x14ac:dyDescent="0.25">
      <c r="A5" s="10" t="s">
        <v>6</v>
      </c>
      <c r="B5" s="7" t="s">
        <v>7</v>
      </c>
      <c r="C5" s="7"/>
      <c r="D5" s="7"/>
      <c r="E5" s="7"/>
      <c r="F5" s="7"/>
      <c r="G5" s="7"/>
      <c r="H5" s="7"/>
    </row>
    <row r="7" spans="1:8" ht="24.75" customHeight="1" x14ac:dyDescent="0.25">
      <c r="A7" s="12" t="s">
        <v>8</v>
      </c>
      <c r="B7" s="12" t="s">
        <v>9</v>
      </c>
      <c r="C7" s="12" t="s">
        <v>10</v>
      </c>
      <c r="D7" s="12" t="s">
        <v>11</v>
      </c>
      <c r="E7" s="12" t="s">
        <v>12</v>
      </c>
      <c r="F7" s="12" t="s">
        <v>13</v>
      </c>
      <c r="G7" s="12" t="s">
        <v>14</v>
      </c>
      <c r="H7" s="12" t="s">
        <v>15</v>
      </c>
    </row>
    <row r="8" spans="1:8" ht="48" customHeight="1" x14ac:dyDescent="0.25">
      <c r="A8" s="13" t="s">
        <v>16</v>
      </c>
      <c r="B8" s="13" t="s">
        <v>17</v>
      </c>
      <c r="C8" s="13" t="s">
        <v>18</v>
      </c>
      <c r="D8" s="13" t="s">
        <v>19</v>
      </c>
      <c r="E8" s="14" t="s">
        <v>20</v>
      </c>
      <c r="F8" s="13" t="s">
        <v>21</v>
      </c>
      <c r="G8" s="13" t="s">
        <v>22</v>
      </c>
      <c r="H8" s="13" t="s">
        <v>23</v>
      </c>
    </row>
    <row r="9" spans="1:8" ht="48" customHeight="1" x14ac:dyDescent="0.25">
      <c r="A9" s="13" t="s">
        <v>24</v>
      </c>
      <c r="B9" s="13" t="s">
        <v>25</v>
      </c>
      <c r="C9" s="13" t="s">
        <v>26</v>
      </c>
      <c r="D9" s="13" t="s">
        <v>27</v>
      </c>
      <c r="E9" s="14" t="s">
        <v>20</v>
      </c>
      <c r="F9" s="13" t="s">
        <v>28</v>
      </c>
      <c r="G9" s="13" t="s">
        <v>22</v>
      </c>
      <c r="H9" s="13" t="s">
        <v>29</v>
      </c>
    </row>
    <row r="10" spans="1:8" ht="48" customHeight="1" x14ac:dyDescent="0.25">
      <c r="A10" s="13" t="s">
        <v>30</v>
      </c>
      <c r="B10" s="13" t="s">
        <v>31</v>
      </c>
      <c r="C10" s="13" t="s">
        <v>32</v>
      </c>
      <c r="D10" s="13" t="s">
        <v>33</v>
      </c>
      <c r="E10" s="14" t="s">
        <v>20</v>
      </c>
      <c r="F10" s="13" t="s">
        <v>34</v>
      </c>
      <c r="G10" s="13" t="s">
        <v>22</v>
      </c>
      <c r="H10" s="13" t="s">
        <v>35</v>
      </c>
    </row>
    <row r="11" spans="1:8" ht="48" customHeight="1" x14ac:dyDescent="0.25">
      <c r="A11" s="13" t="s">
        <v>36</v>
      </c>
      <c r="B11" s="13" t="s">
        <v>25</v>
      </c>
      <c r="C11" s="13" t="s">
        <v>37</v>
      </c>
      <c r="D11" s="13" t="s">
        <v>38</v>
      </c>
      <c r="E11" s="15" t="s">
        <v>39</v>
      </c>
      <c r="F11" s="13" t="s">
        <v>40</v>
      </c>
      <c r="G11" s="13" t="s">
        <v>41</v>
      </c>
      <c r="H11" s="13" t="s">
        <v>42</v>
      </c>
    </row>
    <row r="12" spans="1:8" ht="48" customHeight="1" x14ac:dyDescent="0.25">
      <c r="A12" s="13" t="s">
        <v>43</v>
      </c>
      <c r="B12" s="13" t="s">
        <v>25</v>
      </c>
      <c r="C12" s="13" t="s">
        <v>44</v>
      </c>
      <c r="D12" s="13" t="s">
        <v>33</v>
      </c>
      <c r="E12" s="14" t="s">
        <v>20</v>
      </c>
      <c r="F12" s="13" t="s">
        <v>45</v>
      </c>
      <c r="G12" s="13" t="s">
        <v>41</v>
      </c>
      <c r="H12" s="13" t="s">
        <v>46</v>
      </c>
    </row>
    <row r="13" spans="1:8" ht="48" customHeight="1" x14ac:dyDescent="0.25">
      <c r="A13" s="13" t="s">
        <v>47</v>
      </c>
      <c r="B13" s="13" t="s">
        <v>25</v>
      </c>
      <c r="C13" s="13" t="s">
        <v>48</v>
      </c>
      <c r="D13" s="13" t="s">
        <v>49</v>
      </c>
      <c r="E13" s="15" t="s">
        <v>39</v>
      </c>
      <c r="F13" s="13" t="s">
        <v>50</v>
      </c>
      <c r="G13" s="13" t="s">
        <v>22</v>
      </c>
      <c r="H13" s="13" t="s">
        <v>51</v>
      </c>
    </row>
    <row r="14" spans="1:8" ht="48" customHeight="1" x14ac:dyDescent="0.25">
      <c r="A14" s="13" t="s">
        <v>52</v>
      </c>
      <c r="B14" s="13" t="s">
        <v>25</v>
      </c>
      <c r="C14" s="13" t="s">
        <v>53</v>
      </c>
      <c r="D14" s="13" t="s">
        <v>49</v>
      </c>
      <c r="E14" s="15" t="s">
        <v>39</v>
      </c>
      <c r="F14" s="13" t="s">
        <v>54</v>
      </c>
      <c r="G14" s="13" t="s">
        <v>41</v>
      </c>
      <c r="H14" s="13" t="s">
        <v>55</v>
      </c>
    </row>
    <row r="15" spans="1:8" ht="48" customHeight="1" x14ac:dyDescent="0.25">
      <c r="A15" s="13" t="s">
        <v>56</v>
      </c>
      <c r="B15" s="13" t="s">
        <v>25</v>
      </c>
      <c r="C15" s="13" t="s">
        <v>57</v>
      </c>
      <c r="D15" s="13" t="s">
        <v>58</v>
      </c>
      <c r="E15" s="15" t="s">
        <v>39</v>
      </c>
      <c r="F15" s="13" t="s">
        <v>59</v>
      </c>
      <c r="G15" s="13" t="s">
        <v>3</v>
      </c>
      <c r="H15" s="13" t="s">
        <v>60</v>
      </c>
    </row>
    <row r="16" spans="1:8" ht="48" customHeight="1" x14ac:dyDescent="0.25">
      <c r="A16" s="13" t="s">
        <v>61</v>
      </c>
      <c r="B16" s="13" t="s">
        <v>31</v>
      </c>
      <c r="C16" s="13" t="s">
        <v>62</v>
      </c>
      <c r="D16" s="13" t="s">
        <v>19</v>
      </c>
      <c r="E16" s="15" t="s">
        <v>39</v>
      </c>
      <c r="F16" s="13" t="s">
        <v>63</v>
      </c>
      <c r="G16" s="13" t="s">
        <v>22</v>
      </c>
      <c r="H16" s="13" t="s">
        <v>64</v>
      </c>
    </row>
    <row r="17" spans="1:8" ht="48" customHeight="1" x14ac:dyDescent="0.25">
      <c r="A17" s="13" t="s">
        <v>65</v>
      </c>
      <c r="B17" s="13" t="s">
        <v>25</v>
      </c>
      <c r="C17" s="13" t="s">
        <v>66</v>
      </c>
      <c r="D17" s="13" t="s">
        <v>67</v>
      </c>
      <c r="E17" s="14" t="s">
        <v>20</v>
      </c>
      <c r="F17" s="13" t="s">
        <v>68</v>
      </c>
      <c r="G17" s="13" t="s">
        <v>3</v>
      </c>
      <c r="H17" s="13" t="s">
        <v>69</v>
      </c>
    </row>
    <row r="18" spans="1:8" ht="48" customHeight="1" x14ac:dyDescent="0.25">
      <c r="A18" s="13" t="s">
        <v>70</v>
      </c>
      <c r="B18" s="13" t="s">
        <v>25</v>
      </c>
      <c r="C18" s="13" t="s">
        <v>71</v>
      </c>
      <c r="D18" s="13" t="s">
        <v>33</v>
      </c>
      <c r="E18" s="15" t="s">
        <v>39</v>
      </c>
      <c r="F18" s="13" t="s">
        <v>72</v>
      </c>
      <c r="G18" s="13" t="s">
        <v>41</v>
      </c>
      <c r="H18" s="13" t="s">
        <v>73</v>
      </c>
    </row>
    <row r="19" spans="1:8" ht="48" customHeight="1" x14ac:dyDescent="0.25">
      <c r="A19" s="13" t="s">
        <v>74</v>
      </c>
      <c r="B19" s="13" t="s">
        <v>17</v>
      </c>
      <c r="C19" s="13" t="s">
        <v>75</v>
      </c>
      <c r="D19" s="13" t="s">
        <v>27</v>
      </c>
      <c r="E19" s="15" t="s">
        <v>39</v>
      </c>
      <c r="F19" s="13" t="s">
        <v>76</v>
      </c>
      <c r="G19" s="13" t="s">
        <v>22</v>
      </c>
      <c r="H19" s="13" t="s">
        <v>77</v>
      </c>
    </row>
    <row r="20" spans="1:8" ht="48" customHeight="1" x14ac:dyDescent="0.25">
      <c r="A20" s="13" t="s">
        <v>78</v>
      </c>
      <c r="B20" s="13" t="s">
        <v>25</v>
      </c>
      <c r="C20" s="13" t="s">
        <v>79</v>
      </c>
      <c r="D20" s="13" t="s">
        <v>58</v>
      </c>
      <c r="E20" s="15" t="s">
        <v>39</v>
      </c>
      <c r="F20" s="13" t="s">
        <v>80</v>
      </c>
      <c r="G20" s="13" t="s">
        <v>3</v>
      </c>
      <c r="H20" s="13" t="s">
        <v>81</v>
      </c>
    </row>
    <row r="21" spans="1:8" ht="48" customHeight="1" x14ac:dyDescent="0.25">
      <c r="A21" s="13" t="s">
        <v>82</v>
      </c>
      <c r="B21" s="13" t="s">
        <v>25</v>
      </c>
      <c r="C21" s="13" t="s">
        <v>83</v>
      </c>
      <c r="D21" s="13" t="s">
        <v>67</v>
      </c>
      <c r="E21" s="15" t="s">
        <v>39</v>
      </c>
      <c r="F21" s="13" t="s">
        <v>84</v>
      </c>
      <c r="G21" s="13" t="s">
        <v>3</v>
      </c>
      <c r="H21" s="13" t="s">
        <v>85</v>
      </c>
    </row>
    <row r="22" spans="1:8" ht="48" customHeight="1" x14ac:dyDescent="0.25">
      <c r="A22" s="13" t="s">
        <v>86</v>
      </c>
      <c r="B22" s="13" t="s">
        <v>25</v>
      </c>
      <c r="C22" s="13" t="s">
        <v>87</v>
      </c>
      <c r="D22" s="13" t="s">
        <v>33</v>
      </c>
      <c r="E22" s="15" t="s">
        <v>39</v>
      </c>
      <c r="F22" s="13" t="s">
        <v>88</v>
      </c>
      <c r="G22" s="13" t="s">
        <v>41</v>
      </c>
      <c r="H22" s="13" t="s">
        <v>89</v>
      </c>
    </row>
    <row r="23" spans="1:8" ht="48" customHeight="1" x14ac:dyDescent="0.25">
      <c r="A23" s="13" t="s">
        <v>90</v>
      </c>
      <c r="B23" s="13" t="s">
        <v>17</v>
      </c>
      <c r="C23" s="13" t="s">
        <v>91</v>
      </c>
      <c r="D23" s="13" t="s">
        <v>58</v>
      </c>
      <c r="E23" s="15" t="s">
        <v>39</v>
      </c>
      <c r="F23" s="13" t="s">
        <v>92</v>
      </c>
      <c r="G23" s="13" t="s">
        <v>3</v>
      </c>
      <c r="H23" s="13" t="s">
        <v>93</v>
      </c>
    </row>
    <row r="24" spans="1:8" ht="48" customHeight="1" x14ac:dyDescent="0.25">
      <c r="A24" s="13" t="s">
        <v>94</v>
      </c>
      <c r="B24" s="13" t="s">
        <v>31</v>
      </c>
      <c r="C24" s="13" t="s">
        <v>95</v>
      </c>
      <c r="D24" s="13" t="s">
        <v>19</v>
      </c>
      <c r="E24" s="15" t="s">
        <v>39</v>
      </c>
      <c r="F24" s="13" t="s">
        <v>96</v>
      </c>
      <c r="G24" s="13" t="s">
        <v>41</v>
      </c>
      <c r="H24" s="13" t="s">
        <v>97</v>
      </c>
    </row>
    <row r="25" spans="1:8" ht="48" customHeight="1" x14ac:dyDescent="0.25">
      <c r="A25" s="13" t="s">
        <v>98</v>
      </c>
      <c r="B25" s="13" t="s">
        <v>25</v>
      </c>
      <c r="C25" s="13" t="s">
        <v>99</v>
      </c>
      <c r="D25" s="13" t="s">
        <v>67</v>
      </c>
      <c r="E25" s="14" t="s">
        <v>20</v>
      </c>
      <c r="F25" s="13" t="s">
        <v>100</v>
      </c>
      <c r="G25" s="13" t="s">
        <v>3</v>
      </c>
      <c r="H25" s="13" t="s">
        <v>101</v>
      </c>
    </row>
    <row r="28" spans="1:8" ht="15" customHeight="1" x14ac:dyDescent="0.25">
      <c r="A28" s="16" t="s">
        <v>102</v>
      </c>
    </row>
    <row r="29" spans="1:8" ht="15" customHeight="1" x14ac:dyDescent="0.25">
      <c r="A29" s="17" t="s">
        <v>103</v>
      </c>
      <c r="B29" s="18">
        <f>COUNTA(A8:A25)</f>
        <v>18</v>
      </c>
    </row>
    <row r="30" spans="1:8" ht="15" customHeight="1" x14ac:dyDescent="0.25">
      <c r="A30" s="17" t="s">
        <v>104</v>
      </c>
      <c r="B30" s="18">
        <f>COUNTIF(E8:E25,"Crítico")</f>
        <v>0</v>
      </c>
    </row>
    <row r="31" spans="1:8" ht="15" customHeight="1" x14ac:dyDescent="0.25">
      <c r="A31" s="17" t="s">
        <v>105</v>
      </c>
      <c r="B31" s="18">
        <f>COUNTIF(E8:E25,"Mayor")</f>
        <v>6</v>
      </c>
    </row>
    <row r="32" spans="1:8" ht="15" customHeight="1" x14ac:dyDescent="0.25">
      <c r="A32" s="17" t="s">
        <v>106</v>
      </c>
      <c r="B32" s="18">
        <f>COUNTIF(E8:E25,"Menor")</f>
        <v>12</v>
      </c>
    </row>
    <row r="33" spans="1:8" ht="15" customHeight="1" x14ac:dyDescent="0.25">
      <c r="A33" s="17" t="s">
        <v>107</v>
      </c>
      <c r="B33" s="19">
        <v>13</v>
      </c>
    </row>
    <row r="34" spans="1:8" ht="15" customHeight="1" x14ac:dyDescent="0.25">
      <c r="A34" s="17" t="s">
        <v>108</v>
      </c>
      <c r="B34" s="20">
        <f>B29/B33</f>
        <v>1.3846153846153846</v>
      </c>
    </row>
    <row r="36" spans="1:8" ht="21.75" customHeight="1" x14ac:dyDescent="0.25">
      <c r="A36" s="6"/>
      <c r="B36" s="6"/>
      <c r="C36" s="6"/>
      <c r="D36" s="6"/>
      <c r="E36" s="6"/>
      <c r="F36" s="6"/>
      <c r="G36" s="6"/>
      <c r="H36" s="6"/>
    </row>
    <row r="38" spans="1:8" ht="15" customHeight="1" x14ac:dyDescent="0.25">
      <c r="A38" s="18" t="s">
        <v>109</v>
      </c>
    </row>
    <row r="39" spans="1:8" ht="15" customHeight="1" x14ac:dyDescent="0.25">
      <c r="A39" s="5" t="s">
        <v>110</v>
      </c>
      <c r="B39" s="5"/>
      <c r="C39" s="5"/>
      <c r="D39" s="5"/>
      <c r="E39" s="5"/>
      <c r="F39" s="5"/>
      <c r="G39" s="5"/>
      <c r="H39" s="5"/>
    </row>
    <row r="40" spans="1:8" ht="15" customHeight="1" x14ac:dyDescent="0.25">
      <c r="A40" s="5"/>
      <c r="B40" s="5"/>
      <c r="C40" s="5"/>
      <c r="D40" s="5"/>
      <c r="E40" s="5"/>
      <c r="F40" s="5"/>
      <c r="G40" s="5"/>
      <c r="H40" s="5"/>
    </row>
    <row r="41" spans="1:8" ht="15" customHeight="1" x14ac:dyDescent="0.25">
      <c r="A41" s="5"/>
      <c r="B41" s="5"/>
      <c r="C41" s="5"/>
      <c r="D41" s="5"/>
      <c r="E41" s="5"/>
      <c r="F41" s="5"/>
      <c r="G41" s="5"/>
      <c r="H41" s="5"/>
    </row>
  </sheetData>
  <mergeCells count="5">
    <mergeCell ref="A1:H1"/>
    <mergeCell ref="A2:H2"/>
    <mergeCell ref="B5:H5"/>
    <mergeCell ref="A36:H36"/>
    <mergeCell ref="A39:H41"/>
  </mergeCell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topLeftCell="A11" zoomScaleNormal="100" workbookViewId="0">
      <selection activeCell="A41" sqref="A41:H45"/>
    </sheetView>
  </sheetViews>
  <sheetFormatPr baseColWidth="10" defaultColWidth="9.140625" defaultRowHeight="15" x14ac:dyDescent="0.25"/>
  <cols>
    <col min="1" max="1" width="14" customWidth="1"/>
  </cols>
  <sheetData>
    <row r="1" spans="1:1" ht="16.5" customHeight="1" x14ac:dyDescent="0.25">
      <c r="A1" s="21" t="s">
        <v>111</v>
      </c>
    </row>
    <row r="41" spans="1:8" ht="15" customHeight="1" x14ac:dyDescent="0.25">
      <c r="A41" s="4" t="s">
        <v>112</v>
      </c>
      <c r="B41" s="4"/>
      <c r="C41" s="4"/>
      <c r="D41" s="4"/>
      <c r="E41" s="4"/>
      <c r="F41" s="4"/>
      <c r="G41" s="4"/>
      <c r="H41" s="4"/>
    </row>
    <row r="42" spans="1:8" x14ac:dyDescent="0.25">
      <c r="A42" s="4"/>
      <c r="B42" s="4"/>
      <c r="C42" s="4"/>
      <c r="D42" s="4"/>
      <c r="E42" s="4"/>
      <c r="F42" s="4"/>
      <c r="G42" s="4"/>
      <c r="H42" s="4"/>
    </row>
    <row r="43" spans="1:8" x14ac:dyDescent="0.25">
      <c r="A43" s="4"/>
      <c r="B43" s="4"/>
      <c r="C43" s="4"/>
      <c r="D43" s="4"/>
      <c r="E43" s="4"/>
      <c r="F43" s="4"/>
      <c r="G43" s="4"/>
      <c r="H43" s="4"/>
    </row>
    <row r="44" spans="1:8" x14ac:dyDescent="0.25">
      <c r="A44" s="4"/>
      <c r="B44" s="4"/>
      <c r="C44" s="4"/>
      <c r="D44" s="4"/>
      <c r="E44" s="4"/>
      <c r="F44" s="4"/>
      <c r="G44" s="4"/>
      <c r="H44" s="4"/>
    </row>
    <row r="45" spans="1:8" x14ac:dyDescent="0.25">
      <c r="A45" s="4"/>
      <c r="B45" s="4"/>
      <c r="C45" s="4"/>
      <c r="D45" s="4"/>
      <c r="E45" s="4"/>
      <c r="F45" s="4"/>
      <c r="G45" s="4"/>
      <c r="H45" s="4"/>
    </row>
  </sheetData>
  <mergeCells count="1">
    <mergeCell ref="A41:H45"/>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4"/>
  <sheetViews>
    <sheetView zoomScaleNormal="100" workbookViewId="0">
      <selection activeCell="J10" sqref="J10"/>
    </sheetView>
  </sheetViews>
  <sheetFormatPr baseColWidth="10" defaultColWidth="9.140625" defaultRowHeight="15" x14ac:dyDescent="0.25"/>
  <cols>
    <col min="1" max="1" width="9" customWidth="1"/>
    <col min="2" max="2" width="13" customWidth="1"/>
    <col min="3" max="3" width="30" customWidth="1"/>
    <col min="4" max="4" width="40" customWidth="1"/>
    <col min="5" max="5" width="30" customWidth="1"/>
    <col min="6" max="6" width="16" customWidth="1"/>
  </cols>
  <sheetData>
    <row r="1" spans="1:6" ht="16.5" customHeight="1" x14ac:dyDescent="0.25">
      <c r="A1" s="3" t="s">
        <v>113</v>
      </c>
      <c r="B1" s="3"/>
      <c r="C1" s="3"/>
      <c r="D1" s="3"/>
      <c r="E1" s="3"/>
      <c r="F1" s="3"/>
    </row>
    <row r="2" spans="1:6" x14ac:dyDescent="0.25">
      <c r="A2" s="2" t="s">
        <v>114</v>
      </c>
      <c r="B2" s="2"/>
      <c r="C2" s="2"/>
      <c r="D2" s="2"/>
      <c r="E2" s="2"/>
      <c r="F2" s="2"/>
    </row>
    <row r="4" spans="1:6" x14ac:dyDescent="0.25">
      <c r="A4" s="22" t="s">
        <v>115</v>
      </c>
      <c r="B4" s="22" t="s">
        <v>116</v>
      </c>
      <c r="C4" s="22" t="s">
        <v>117</v>
      </c>
      <c r="D4" s="22" t="s">
        <v>118</v>
      </c>
      <c r="E4" s="22" t="s">
        <v>119</v>
      </c>
      <c r="F4" s="22" t="s">
        <v>120</v>
      </c>
    </row>
    <row r="5" spans="1:6" ht="90" customHeight="1" x14ac:dyDescent="0.25">
      <c r="A5" s="23" t="s">
        <v>16</v>
      </c>
      <c r="B5" s="23" t="s">
        <v>121</v>
      </c>
      <c r="C5" s="23" t="s">
        <v>122</v>
      </c>
      <c r="D5" s="23" t="s">
        <v>123</v>
      </c>
      <c r="E5" s="23" t="s">
        <v>124</v>
      </c>
      <c r="F5" s="23" t="s">
        <v>125</v>
      </c>
    </row>
    <row r="6" spans="1:6" ht="90" customHeight="1" x14ac:dyDescent="0.25">
      <c r="A6" s="23" t="s">
        <v>24</v>
      </c>
      <c r="B6" s="23" t="s">
        <v>28</v>
      </c>
      <c r="C6" s="23" t="s">
        <v>126</v>
      </c>
      <c r="D6" s="23" t="s">
        <v>127</v>
      </c>
      <c r="E6" s="23" t="s">
        <v>128</v>
      </c>
      <c r="F6" s="23" t="s">
        <v>125</v>
      </c>
    </row>
    <row r="7" spans="1:6" ht="90" customHeight="1" x14ac:dyDescent="0.25">
      <c r="A7" s="23" t="s">
        <v>30</v>
      </c>
      <c r="B7" s="23" t="s">
        <v>129</v>
      </c>
      <c r="C7" s="23" t="s">
        <v>130</v>
      </c>
      <c r="D7" s="23" t="s">
        <v>131</v>
      </c>
      <c r="E7" s="23" t="s">
        <v>132</v>
      </c>
      <c r="F7" s="23" t="s">
        <v>125</v>
      </c>
    </row>
    <row r="8" spans="1:6" ht="90" customHeight="1" x14ac:dyDescent="0.25">
      <c r="A8" s="23" t="s">
        <v>43</v>
      </c>
      <c r="B8" s="23" t="s">
        <v>133</v>
      </c>
      <c r="C8" s="23" t="s">
        <v>134</v>
      </c>
      <c r="D8" s="23" t="s">
        <v>135</v>
      </c>
      <c r="E8" s="23" t="s">
        <v>136</v>
      </c>
      <c r="F8" s="23" t="s">
        <v>125</v>
      </c>
    </row>
    <row r="9" spans="1:6" ht="90" customHeight="1" x14ac:dyDescent="0.25">
      <c r="A9" s="23" t="s">
        <v>65</v>
      </c>
      <c r="B9" s="23" t="s">
        <v>68</v>
      </c>
      <c r="C9" s="23" t="s">
        <v>137</v>
      </c>
      <c r="D9" s="23" t="s">
        <v>138</v>
      </c>
      <c r="E9" s="23" t="s">
        <v>139</v>
      </c>
      <c r="F9" s="23" t="s">
        <v>125</v>
      </c>
    </row>
    <row r="10" spans="1:6" ht="90" customHeight="1" x14ac:dyDescent="0.25">
      <c r="A10" s="23" t="s">
        <v>98</v>
      </c>
      <c r="B10" s="23" t="s">
        <v>140</v>
      </c>
      <c r="C10" s="23" t="s">
        <v>141</v>
      </c>
      <c r="D10" s="23" t="s">
        <v>142</v>
      </c>
      <c r="E10" s="23" t="s">
        <v>143</v>
      </c>
      <c r="F10" s="23" t="s">
        <v>125</v>
      </c>
    </row>
    <row r="12" spans="1:6" x14ac:dyDescent="0.25">
      <c r="A12" s="1"/>
      <c r="B12" s="1"/>
      <c r="C12" s="1"/>
      <c r="D12" s="1"/>
      <c r="E12" s="1"/>
      <c r="F12" s="1"/>
    </row>
    <row r="13" spans="1:6" x14ac:dyDescent="0.25">
      <c r="A13" s="1"/>
      <c r="B13" s="1"/>
      <c r="C13" s="1"/>
      <c r="D13" s="1"/>
      <c r="E13" s="1"/>
      <c r="F13" s="1"/>
    </row>
    <row r="14" spans="1:6" x14ac:dyDescent="0.25">
      <c r="A14" s="1"/>
      <c r="B14" s="1"/>
      <c r="C14" s="1"/>
      <c r="D14" s="1"/>
      <c r="E14" s="1"/>
      <c r="F14" s="1"/>
    </row>
  </sheetData>
  <mergeCells count="3">
    <mergeCell ref="A1:F1"/>
    <mergeCell ref="A2:F2"/>
    <mergeCell ref="A12:F14"/>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Registro_Defectos</vt:lpstr>
      <vt:lpstr>Graficos_Metricas</vt:lpstr>
      <vt:lpstr>Correcciones_Aplicadas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Jeanpool Marcillo</cp:lastModifiedBy>
  <cp:revision>0</cp:revision>
  <dcterms:created xsi:type="dcterms:W3CDTF">2026-08-05T20:03:27Z</dcterms:created>
  <dcterms:modified xsi:type="dcterms:W3CDTF">2026-08-06T01:50:55Z</dcterms:modified>
  <dc:language>en-US</dc:language>
</cp:coreProperties>
</file>